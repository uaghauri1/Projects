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duction Analysis\"/>
    </mc:Choice>
  </mc:AlternateContent>
  <xr:revisionPtr revIDLastSave="0" documentId="13_ncr:1_{2238655E-1F6E-429A-9CB8-E637DD89C9E3}" xr6:coauthVersionLast="43" xr6:coauthVersionMax="43" xr10:uidLastSave="{00000000-0000-0000-0000-000000000000}"/>
  <bookViews>
    <workbookView xWindow="2436" yWindow="3432" windowWidth="17280" windowHeight="9072" tabRatio="900" xr2:uid="{5D7BDEEC-57A2-4A72-A8DB-E77D1CD62F3B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  <sheet name="Sheet12" sheetId="12" r:id="rId12"/>
    <sheet name="Sheet13" sheetId="13" r:id="rId13"/>
    <sheet name="Sheet14" sheetId="14" r:id="rId14"/>
    <sheet name="Sheet15" sheetId="15" r:id="rId15"/>
    <sheet name="Sheet16" sheetId="16" r:id="rId16"/>
    <sheet name="Sheet17" sheetId="17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5" i="1" l="1"/>
  <c r="C41" i="1"/>
  <c r="C39" i="1"/>
  <c r="C37" i="1"/>
  <c r="C35" i="1"/>
  <c r="C33" i="1"/>
  <c r="D45" i="1"/>
  <c r="C20" i="1"/>
  <c r="C16" i="1"/>
  <c r="C14" i="1"/>
  <c r="C12" i="1"/>
  <c r="C10" i="1"/>
  <c r="C8" i="1"/>
  <c r="D20" i="1"/>
</calcChain>
</file>

<file path=xl/sharedStrings.xml><?xml version="1.0" encoding="utf-8"?>
<sst xmlns="http://schemas.openxmlformats.org/spreadsheetml/2006/main" count="46" uniqueCount="22">
  <si>
    <t>SS</t>
  </si>
  <si>
    <t>THP</t>
  </si>
  <si>
    <t>Choke Down Stream</t>
  </si>
  <si>
    <t>Chem Rate  L/D</t>
  </si>
  <si>
    <t>Estimated Oil Prod.</t>
  </si>
  <si>
    <t>Gas Rate (MMscf)</t>
  </si>
  <si>
    <t>GOR (scf/bbl)</t>
  </si>
  <si>
    <t>Well</t>
  </si>
  <si>
    <t>Delta THP</t>
  </si>
  <si>
    <t>Delta C/D</t>
  </si>
  <si>
    <t>Delta Chem Rate L/D</t>
  </si>
  <si>
    <t>Delta Gas Rate</t>
  </si>
  <si>
    <t>Delta Estimated Oil Prod.</t>
  </si>
  <si>
    <t>Last Wax cut.</t>
  </si>
  <si>
    <t>Last Test Date on Current choke</t>
  </si>
  <si>
    <t>C/D to THP Ratio</t>
  </si>
  <si>
    <t>Out of Critical/Critical</t>
  </si>
  <si>
    <t>BWPD</t>
  </si>
  <si>
    <t>Critical</t>
  </si>
  <si>
    <t>Date</t>
  </si>
  <si>
    <t>LS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</si>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</sst>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;@"/>
  </numFmts>
  <fonts count="10">
    <font>
      <sz val="11"/>
      <color theme="1"/>
      <name val="Calibri"/>
      <family val="2"/>
      <scheme val="minor"/>
    </font>
    <font>
      <b/>
      <sz val="12"/>
      <name val="Arial Cyr"/>
      <family val="2"/>
      <charset val="204"/>
    </font>
    <font>
      <sz val="10"/>
      <name val="Arial"/>
      <family val="2"/>
    </font>
    <font>
      <sz val="10"/>
      <name val="Arial CYR"/>
      <family val="2"/>
      <charset val="204"/>
    </font>
    <font>
      <b/>
      <sz val="12"/>
      <color rgb="FFFF0000"/>
      <name val="Arial Cyr"/>
      <family val="2"/>
      <charset val="204"/>
    </font>
    <font>
      <b/>
      <sz val="12"/>
      <color rgb="FF0070C0"/>
      <name val="Arial Cyr"/>
    </font>
    <font>
      <b/>
      <sz val="12"/>
      <color rgb="FF000000"/>
      <name val="Arial Cyr"/>
      <family val="2"/>
      <charset val="204"/>
    </font>
    <font>
      <b/>
      <sz val="12"/>
      <name val="Arial CY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Border="1" applyAlignment="1">
      <alignment horizontal="center" vertical="center" wrapText="1"/>
    </xf>
    <xf numFmtId="2" fontId="7" fillId="0" borderId="0" xfId="0" applyNumberFormat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4" fillId="0" borderId="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0" fillId="0" borderId="0" xfId="0" applyBorder="1" applyAlignment="1"/>
    <xf numFmtId="0" fontId="1" fillId="0" borderId="0" xfId="0" applyFont="1" applyBorder="1" applyAlignment="1"/>
    <xf numFmtId="0" fontId="3" fillId="0" borderId="0" xfId="0" applyFont="1" applyBorder="1" applyAlignment="1"/>
    <xf numFmtId="0" fontId="8" fillId="0" borderId="1" xfId="0" applyFont="1" applyFill="1" applyBorder="1" applyAlignment="1"/>
    <xf numFmtId="0" fontId="0" fillId="0" borderId="1" xfId="0" applyFill="1" applyBorder="1" applyAlignment="1"/>
    <xf numFmtId="164" fontId="0" fillId="0" borderId="1" xfId="0" applyNumberFormat="1" applyFill="1" applyBorder="1" applyAlignment="1"/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</cellXfs>
  <cellStyles count="1">
    <cellStyle name="Normal" xfId="0" builtinId="0"/>
  </cellStyles>
  <dxfs count="66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426720</xdr:colOff>
      <xdr:row>12</xdr:row>
      <xdr:rowOff>15240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351520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586740</xdr:colOff>
          <xdr:row>2</xdr:row>
          <xdr:rowOff>38100</xdr:rowOff>
        </xdr:from>
        <xdr:to>
          <xdr:col>6</xdr:col>
          <xdr:colOff>403860</xdr:colOff>
          <xdr:row>4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0887-E326-48B3-A392-89D90D14DC65}">
  <sheetPr codeName="Sheet1"/>
  <dimension ref="A1:D209"/>
  <sheetViews>
    <sheetView tabSelected="1" topLeftCell="A25" workbookViewId="0">
      <selection activeCell="D37" sqref="D37"/>
    </sheetView>
  </sheetViews>
  <sheetFormatPr defaultRowHeight="14.4"/>
  <cols>
    <col min="1" max="1" width="12" style="12" customWidth="1"/>
    <col min="2" max="2" width="27.44140625" style="12" bestFit="1" customWidth="1"/>
    <col min="3" max="3" width="12" style="12" bestFit="1" customWidth="1"/>
    <col min="4" max="4" width="12" style="10" bestFit="1" customWidth="1"/>
    <col min="5" max="5" width="13.77734375" style="10" bestFit="1" customWidth="1"/>
    <col min="6" max="6" width="8.88671875" style="10"/>
    <col min="7" max="7" width="16.6640625" style="10" bestFit="1" customWidth="1"/>
    <col min="8" max="8" width="15.5546875" style="10" bestFit="1" customWidth="1"/>
    <col min="9" max="9" width="11.77734375" style="10" bestFit="1" customWidth="1"/>
    <col min="10" max="16384" width="8.88671875" style="10"/>
  </cols>
  <sheetData>
    <row r="1" spans="1:4">
      <c r="A1" s="10"/>
      <c r="B1" s="10"/>
      <c r="C1" s="10"/>
    </row>
    <row r="2" spans="1:4">
      <c r="A2" s="10"/>
      <c r="B2" s="10"/>
      <c r="C2" s="10"/>
    </row>
    <row r="3" spans="1:4">
      <c r="A3" s="10"/>
      <c r="B3" s="10"/>
      <c r="C3" s="10"/>
    </row>
    <row r="4" spans="1:4">
      <c r="A4" s="10"/>
      <c r="B4" s="10"/>
      <c r="C4" s="10"/>
    </row>
    <row r="5" spans="1:4" ht="23.4">
      <c r="A5" s="10"/>
      <c r="B5" s="13" t="s">
        <v>7</v>
      </c>
      <c r="C5" s="13">
        <v>167</v>
      </c>
      <c r="D5" s="13" t="s">
        <v>0</v>
      </c>
    </row>
    <row r="6" spans="1:4">
      <c r="A6" s="10"/>
      <c r="B6" s="14" t="s">
        <v>19</v>
      </c>
      <c r="C6" s="15">
        <v>43656</v>
      </c>
      <c r="D6" s="15">
        <v>43657</v>
      </c>
    </row>
    <row r="7" spans="1:4">
      <c r="A7" s="10"/>
      <c r="B7" s="14" t="s">
        <v>1</v>
      </c>
      <c r="C7" s="14">
        <v>710.64700000000005</v>
      </c>
      <c r="D7" s="14">
        <v>710.64700000000005</v>
      </c>
    </row>
    <row r="8" spans="1:4">
      <c r="A8" s="10"/>
      <c r="B8" s="14" t="s">
        <v>8</v>
      </c>
      <c r="C8" s="16">
        <f>C7-D7</f>
        <v>0</v>
      </c>
      <c r="D8" s="17"/>
    </row>
    <row r="9" spans="1:4">
      <c r="A9" s="10"/>
      <c r="B9" s="14" t="s">
        <v>2</v>
      </c>
      <c r="C9" s="14">
        <v>384.3295</v>
      </c>
      <c r="D9" s="14">
        <v>391.58100000000002</v>
      </c>
    </row>
    <row r="10" spans="1:4">
      <c r="A10" s="10"/>
      <c r="B10" s="14" t="s">
        <v>9</v>
      </c>
      <c r="C10" s="16">
        <f>C9-D9</f>
        <v>-7.2515000000000214</v>
      </c>
      <c r="D10" s="17"/>
    </row>
    <row r="11" spans="1:4">
      <c r="A11" s="10"/>
      <c r="B11" s="14" t="s">
        <v>3</v>
      </c>
      <c r="C11" s="14">
        <v>20</v>
      </c>
      <c r="D11" s="14">
        <v>20</v>
      </c>
    </row>
    <row r="12" spans="1:4">
      <c r="A12" s="10"/>
      <c r="B12" s="14" t="s">
        <v>10</v>
      </c>
      <c r="C12" s="16">
        <f>C11-D11</f>
        <v>0</v>
      </c>
      <c r="D12" s="17"/>
    </row>
    <row r="13" spans="1:4">
      <c r="A13" s="10"/>
      <c r="B13" s="14" t="s">
        <v>5</v>
      </c>
      <c r="C13" s="14">
        <v>2.1399865804993468</v>
      </c>
      <c r="D13" s="14">
        <v>2.1399865804993468</v>
      </c>
    </row>
    <row r="14" spans="1:4">
      <c r="A14" s="10"/>
      <c r="B14" s="14" t="s">
        <v>11</v>
      </c>
      <c r="C14" s="16">
        <f>C13-D13</f>
        <v>0</v>
      </c>
      <c r="D14" s="17"/>
    </row>
    <row r="15" spans="1:4">
      <c r="A15" s="10"/>
      <c r="B15" s="14" t="s">
        <v>4</v>
      </c>
      <c r="C15" s="14">
        <v>609.4966390527743</v>
      </c>
      <c r="D15" s="14">
        <v>609.4966390527743</v>
      </c>
    </row>
    <row r="16" spans="1:4">
      <c r="A16" s="10"/>
      <c r="B16" s="14" t="s">
        <v>12</v>
      </c>
      <c r="C16" s="16">
        <f>C15-D15</f>
        <v>0</v>
      </c>
      <c r="D16" s="17"/>
    </row>
    <row r="17" spans="1:4">
      <c r="A17" s="10"/>
      <c r="B17" s="14" t="s">
        <v>13</v>
      </c>
      <c r="C17" s="15">
        <v>43592</v>
      </c>
      <c r="D17" s="15">
        <v>43592</v>
      </c>
    </row>
    <row r="18" spans="1:4">
      <c r="A18" s="10"/>
      <c r="B18" s="14" t="s">
        <v>6</v>
      </c>
      <c r="C18" s="14">
        <v>3511.0719951222773</v>
      </c>
      <c r="D18" s="14">
        <v>3511.0719951222773</v>
      </c>
    </row>
    <row r="19" spans="1:4">
      <c r="A19" s="10"/>
      <c r="B19" s="14" t="s">
        <v>14</v>
      </c>
      <c r="C19" s="15">
        <v>43655</v>
      </c>
      <c r="D19" s="15">
        <v>43655</v>
      </c>
    </row>
    <row r="20" spans="1:4">
      <c r="A20" s="10"/>
      <c r="B20" s="14" t="s">
        <v>15</v>
      </c>
      <c r="C20" s="14">
        <f>C9/C7</f>
        <v>0.54081632653061218</v>
      </c>
      <c r="D20" s="14">
        <f>D9/D7</f>
        <v>0.55102040816326525</v>
      </c>
    </row>
    <row r="21" spans="1:4">
      <c r="A21" s="10"/>
      <c r="B21" s="14" t="s">
        <v>16</v>
      </c>
      <c r="C21" s="14" t="s">
        <v>18</v>
      </c>
      <c r="D21" s="14" t="s">
        <v>18</v>
      </c>
    </row>
    <row r="22" spans="1:4">
      <c r="A22" s="10"/>
      <c r="B22" s="14" t="s">
        <v>17</v>
      </c>
      <c r="C22" s="14">
        <v>26.057729094018555</v>
      </c>
      <c r="D22" s="14">
        <v>22.761285275829778</v>
      </c>
    </row>
    <row r="23" spans="1:4">
      <c r="A23" s="10"/>
      <c r="B23" s="10"/>
      <c r="C23" s="10"/>
    </row>
    <row r="24" spans="1:4">
      <c r="A24" s="10"/>
      <c r="B24" s="10"/>
      <c r="C24" s="10"/>
    </row>
    <row r="25" spans="1:4">
      <c r="A25" s="10"/>
      <c r="B25" s="10"/>
      <c r="C25" s="10"/>
    </row>
    <row r="26" spans="1:4">
      <c r="A26" s="10"/>
      <c r="B26" s="10"/>
      <c r="C26" s="10"/>
    </row>
    <row r="27" spans="1:4">
      <c r="A27" s="10"/>
      <c r="B27" s="10"/>
      <c r="C27" s="10"/>
    </row>
    <row r="28" spans="1:4">
      <c r="A28" s="10"/>
      <c r="B28" s="10"/>
      <c r="C28" s="10"/>
    </row>
    <row r="29" spans="1:4">
      <c r="A29" s="10"/>
      <c r="B29" s="10"/>
      <c r="C29" s="10"/>
    </row>
    <row r="30" spans="1:4" ht="23.4">
      <c r="A30" s="10"/>
      <c r="B30" s="13" t="s">
        <v>7</v>
      </c>
      <c r="C30" s="13">
        <v>167</v>
      </c>
      <c r="D30" s="13" t="s">
        <v>20</v>
      </c>
    </row>
    <row r="31" spans="1:4">
      <c r="A31" s="10"/>
      <c r="B31" s="14" t="s">
        <v>19</v>
      </c>
      <c r="C31" s="15">
        <v>43656</v>
      </c>
      <c r="D31" s="15">
        <v>43657</v>
      </c>
    </row>
    <row r="32" spans="1:4">
      <c r="A32" s="10"/>
      <c r="B32" s="14" t="s">
        <v>1</v>
      </c>
      <c r="C32" s="14">
        <v>1972.4079999999999</v>
      </c>
      <c r="D32" s="14">
        <v>1972.4079999999999</v>
      </c>
    </row>
    <row r="33" spans="1:4">
      <c r="A33" s="10"/>
      <c r="B33" s="14" t="s">
        <v>8</v>
      </c>
      <c r="C33" s="14">
        <f>C32-D32</f>
        <v>0</v>
      </c>
      <c r="D33" s="14"/>
    </row>
    <row r="34" spans="1:4">
      <c r="A34" s="10"/>
      <c r="B34" s="14" t="s">
        <v>2</v>
      </c>
      <c r="C34" s="14" t="s">
        <v>21</v>
      </c>
      <c r="D34" s="14" t="s">
        <v>21</v>
      </c>
    </row>
    <row r="35" spans="1:4">
      <c r="A35" s="10"/>
      <c r="B35" s="14" t="s">
        <v>9</v>
      </c>
      <c r="C35" s="14" t="e">
        <f>C34-D34</f>
        <v>#VALUE!</v>
      </c>
      <c r="D35" s="14"/>
    </row>
    <row r="36" spans="1:4">
      <c r="A36" s="10"/>
      <c r="B36" s="14" t="s">
        <v>3</v>
      </c>
      <c r="C36" s="14"/>
      <c r="D36" s="14"/>
    </row>
    <row r="37" spans="1:4">
      <c r="A37" s="10"/>
      <c r="B37" s="14" t="s">
        <v>10</v>
      </c>
      <c r="C37" s="14">
        <f>C36-D36</f>
        <v>0</v>
      </c>
      <c r="D37" s="14"/>
    </row>
    <row r="38" spans="1:4">
      <c r="A38" s="10"/>
      <c r="B38" s="14" t="s">
        <v>5</v>
      </c>
      <c r="C38" s="14">
        <v>0</v>
      </c>
      <c r="D38" s="14">
        <v>0</v>
      </c>
    </row>
    <row r="39" spans="1:4">
      <c r="A39" s="10"/>
      <c r="B39" s="14" t="s">
        <v>11</v>
      </c>
      <c r="C39" s="14">
        <f>C38-D38</f>
        <v>0</v>
      </c>
      <c r="D39" s="14"/>
    </row>
    <row r="40" spans="1:4">
      <c r="A40" s="10"/>
      <c r="B40" s="14" t="s">
        <v>4</v>
      </c>
      <c r="C40" s="14">
        <v>0</v>
      </c>
      <c r="D40" s="14">
        <v>0</v>
      </c>
    </row>
    <row r="41" spans="1:4">
      <c r="A41" s="10"/>
      <c r="B41" s="14" t="s">
        <v>12</v>
      </c>
      <c r="C41" s="14">
        <f>C40-D40</f>
        <v>0</v>
      </c>
      <c r="D41" s="14"/>
    </row>
    <row r="42" spans="1:4">
      <c r="A42" s="10"/>
      <c r="B42" s="14" t="s">
        <v>13</v>
      </c>
      <c r="C42" s="15">
        <v>43655</v>
      </c>
      <c r="D42" s="15">
        <v>43655</v>
      </c>
    </row>
    <row r="43" spans="1:4">
      <c r="A43" s="10"/>
      <c r="B43" s="14" t="s">
        <v>6</v>
      </c>
      <c r="C43" s="14" t="s">
        <v>21</v>
      </c>
      <c r="D43" s="14" t="s">
        <v>21</v>
      </c>
    </row>
    <row r="44" spans="1:4">
      <c r="A44" s="10"/>
      <c r="B44" s="14" t="s">
        <v>14</v>
      </c>
      <c r="C44" s="15"/>
      <c r="D44" s="15" t="s">
        <v>21</v>
      </c>
    </row>
    <row r="45" spans="1:4">
      <c r="A45" s="10"/>
      <c r="B45" s="14" t="s">
        <v>15</v>
      </c>
      <c r="C45" s="14" t="e">
        <f>C34/C32</f>
        <v>#VALUE!</v>
      </c>
      <c r="D45" s="14">
        <f>D9/D7</f>
        <v>0.55102040816326525</v>
      </c>
    </row>
    <row r="46" spans="1:4">
      <c r="A46" s="10"/>
      <c r="B46" s="14" t="s">
        <v>16</v>
      </c>
      <c r="C46" s="14"/>
      <c r="D46" s="14" t="s">
        <v>18</v>
      </c>
    </row>
    <row r="47" spans="1:4">
      <c r="A47" s="10"/>
      <c r="B47" s="14" t="s">
        <v>17</v>
      </c>
      <c r="C47" s="14">
        <v>0</v>
      </c>
      <c r="D47" s="14">
        <v>0</v>
      </c>
    </row>
    <row r="48" spans="1:4">
      <c r="A48" s="10"/>
      <c r="B48" s="10"/>
      <c r="C48" s="10"/>
    </row>
    <row r="49" spans="1:3">
      <c r="A49" s="10"/>
      <c r="B49" s="10"/>
      <c r="C49" s="10"/>
    </row>
    <row r="50" spans="1:3">
      <c r="A50" s="10"/>
      <c r="B50" s="10"/>
      <c r="C50" s="10"/>
    </row>
    <row r="51" spans="1:3">
      <c r="A51" s="10"/>
      <c r="B51" s="10"/>
      <c r="C51" s="10"/>
    </row>
    <row r="52" spans="1:3">
      <c r="A52" s="10"/>
      <c r="B52" s="10"/>
      <c r="C52" s="10"/>
    </row>
    <row r="53" spans="1:3">
      <c r="A53" s="10"/>
      <c r="B53" s="10"/>
      <c r="C53" s="10"/>
    </row>
    <row r="54" spans="1:3">
      <c r="A54" s="10"/>
      <c r="B54" s="10"/>
      <c r="C54" s="10"/>
    </row>
    <row r="55" spans="1:3">
      <c r="A55" s="10"/>
      <c r="B55" s="10"/>
      <c r="C55" s="10"/>
    </row>
    <row r="56" spans="1:3">
      <c r="A56" s="10"/>
      <c r="B56" s="10"/>
      <c r="C56" s="10"/>
    </row>
    <row r="57" spans="1:3">
      <c r="A57" s="10"/>
      <c r="B57" s="10"/>
      <c r="C57" s="10"/>
    </row>
    <row r="58" spans="1:3">
      <c r="A58" s="10"/>
      <c r="B58" s="10"/>
      <c r="C58" s="10"/>
    </row>
    <row r="59" spans="1:3">
      <c r="A59" s="10"/>
      <c r="B59" s="10"/>
      <c r="C59" s="10"/>
    </row>
    <row r="60" spans="1:3">
      <c r="A60" s="10"/>
      <c r="B60" s="10"/>
      <c r="C60" s="10"/>
    </row>
    <row r="61" spans="1:3">
      <c r="A61" s="10"/>
      <c r="B61" s="10"/>
      <c r="C61" s="10"/>
    </row>
    <row r="62" spans="1:3">
      <c r="A62" s="10"/>
      <c r="B62" s="10"/>
      <c r="C62" s="10"/>
    </row>
    <row r="63" spans="1:3">
      <c r="A63" s="10"/>
      <c r="B63" s="10"/>
      <c r="C63" s="10"/>
    </row>
    <row r="64" spans="1:3">
      <c r="A64" s="10"/>
      <c r="B64" s="10"/>
      <c r="C64" s="10"/>
    </row>
    <row r="65" spans="1:3">
      <c r="A65" s="10"/>
      <c r="B65" s="10"/>
      <c r="C65" s="10"/>
    </row>
    <row r="66" spans="1:3">
      <c r="A66" s="10"/>
      <c r="B66" s="10"/>
      <c r="C66" s="10"/>
    </row>
    <row r="67" spans="1:3">
      <c r="A67" s="10"/>
      <c r="B67" s="10"/>
      <c r="C67" s="10"/>
    </row>
    <row r="68" spans="1:3" ht="15.6">
      <c r="A68" s="8"/>
      <c r="B68" s="1"/>
      <c r="C68" s="2"/>
    </row>
    <row r="69" spans="1:3" ht="15.6">
      <c r="A69" s="8"/>
      <c r="B69" s="1"/>
      <c r="C69" s="2"/>
    </row>
    <row r="70" spans="1:3" ht="15.6">
      <c r="A70" s="8"/>
      <c r="B70" s="1"/>
      <c r="C70" s="2"/>
    </row>
    <row r="71" spans="1:3" ht="15.6">
      <c r="A71" s="8"/>
      <c r="B71" s="1"/>
      <c r="C71" s="2"/>
    </row>
    <row r="72" spans="1:3" ht="15.6">
      <c r="A72" s="8"/>
      <c r="B72" s="1"/>
      <c r="C72" s="2"/>
    </row>
    <row r="73" spans="1:3" ht="15.6">
      <c r="A73" s="8"/>
      <c r="B73" s="1"/>
      <c r="C73" s="2"/>
    </row>
    <row r="74" spans="1:3" ht="15.6">
      <c r="A74" s="8"/>
      <c r="B74" s="1"/>
      <c r="C74" s="2"/>
    </row>
    <row r="75" spans="1:3" ht="15.6">
      <c r="A75" s="8"/>
      <c r="B75" s="1"/>
      <c r="C75" s="2"/>
    </row>
    <row r="76" spans="1:3" ht="15.6">
      <c r="A76" s="8"/>
      <c r="B76" s="1"/>
      <c r="C76" s="2"/>
    </row>
    <row r="77" spans="1:3" ht="15.6">
      <c r="A77" s="8"/>
      <c r="B77" s="1"/>
      <c r="C77" s="2"/>
    </row>
    <row r="78" spans="1:3" ht="15.6">
      <c r="A78" s="8"/>
      <c r="B78" s="1"/>
      <c r="C78" s="2"/>
    </row>
    <row r="79" spans="1:3" ht="15.6">
      <c r="A79" s="8"/>
      <c r="B79" s="1"/>
      <c r="C79" s="2"/>
    </row>
    <row r="80" spans="1:3" ht="15.6">
      <c r="A80" s="8"/>
      <c r="B80" s="1"/>
      <c r="C80" s="2"/>
    </row>
    <row r="81" spans="1:3" ht="15.6">
      <c r="A81" s="8"/>
      <c r="B81" s="1"/>
      <c r="C81" s="2"/>
    </row>
    <row r="82" spans="1:3" ht="15.6">
      <c r="A82" s="8"/>
      <c r="B82" s="1"/>
      <c r="C82" s="2"/>
    </row>
    <row r="83" spans="1:3" ht="15.6">
      <c r="A83" s="8"/>
      <c r="B83" s="1"/>
      <c r="C83" s="2"/>
    </row>
    <row r="84" spans="1:3" ht="15.6">
      <c r="A84" s="8"/>
      <c r="B84" s="1"/>
      <c r="C84" s="2"/>
    </row>
    <row r="85" spans="1:3" ht="15.6">
      <c r="A85" s="8"/>
      <c r="B85" s="1"/>
      <c r="C85" s="3"/>
    </row>
    <row r="86" spans="1:3" ht="15.6">
      <c r="A86" s="8"/>
      <c r="B86" s="1"/>
      <c r="C86" s="2"/>
    </row>
    <row r="87" spans="1:3" ht="15.6">
      <c r="A87" s="8"/>
      <c r="B87" s="1"/>
      <c r="C87" s="2"/>
    </row>
    <row r="88" spans="1:3" ht="15.6">
      <c r="A88" s="8"/>
      <c r="B88" s="4"/>
      <c r="C88" s="2"/>
    </row>
    <row r="89" spans="1:3" ht="15.6">
      <c r="A89" s="8"/>
      <c r="B89" s="1"/>
      <c r="C89" s="2"/>
    </row>
    <row r="90" spans="1:3" ht="15.6">
      <c r="A90" s="8"/>
      <c r="B90" s="1"/>
      <c r="C90" s="2"/>
    </row>
    <row r="91" spans="1:3" ht="15.6">
      <c r="A91" s="8"/>
      <c r="B91" s="1"/>
      <c r="C91" s="2"/>
    </row>
    <row r="92" spans="1:3" ht="15.6">
      <c r="A92" s="8"/>
      <c r="B92" s="1"/>
      <c r="C92" s="2"/>
    </row>
    <row r="93" spans="1:3" ht="15.6">
      <c r="A93" s="8"/>
      <c r="B93" s="1"/>
      <c r="C93" s="2"/>
    </row>
    <row r="94" spans="1:3" ht="15.6">
      <c r="A94" s="8"/>
      <c r="B94" s="1"/>
      <c r="C94" s="2"/>
    </row>
    <row r="95" spans="1:3" ht="15.6">
      <c r="A95" s="8"/>
      <c r="B95" s="1"/>
      <c r="C95" s="2"/>
    </row>
    <row r="96" spans="1:3" ht="15.6">
      <c r="A96" s="8"/>
      <c r="B96" s="1"/>
      <c r="C96" s="2"/>
    </row>
    <row r="97" spans="1:3" ht="15.6">
      <c r="A97" s="8"/>
      <c r="B97" s="1"/>
      <c r="C97" s="2"/>
    </row>
    <row r="98" spans="1:3" ht="15.6">
      <c r="A98" s="8"/>
      <c r="B98" s="1"/>
      <c r="C98" s="2"/>
    </row>
    <row r="99" spans="1:3" ht="15.6">
      <c r="A99" s="8"/>
      <c r="B99" s="1"/>
      <c r="C99" s="2"/>
    </row>
    <row r="100" spans="1:3" ht="15.6">
      <c r="A100" s="8"/>
      <c r="B100" s="1"/>
      <c r="C100" s="2"/>
    </row>
    <row r="101" spans="1:3" ht="15.6">
      <c r="A101" s="8"/>
      <c r="B101" s="1"/>
      <c r="C101" s="2"/>
    </row>
    <row r="102" spans="1:3" ht="15.6">
      <c r="A102" s="8"/>
      <c r="B102" s="1"/>
      <c r="C102" s="2"/>
    </row>
    <row r="103" spans="1:3" ht="15.6">
      <c r="A103" s="8"/>
      <c r="B103" s="1"/>
      <c r="C103" s="2"/>
    </row>
    <row r="104" spans="1:3" ht="15.6">
      <c r="A104" s="8"/>
      <c r="B104" s="1"/>
      <c r="C104" s="2"/>
    </row>
    <row r="105" spans="1:3" ht="15.6">
      <c r="A105" s="8"/>
      <c r="B105" s="1"/>
      <c r="C105" s="2"/>
    </row>
    <row r="106" spans="1:3" ht="15.6">
      <c r="A106" s="8"/>
      <c r="B106" s="1"/>
      <c r="C106" s="2"/>
    </row>
    <row r="107" spans="1:3" ht="15.6">
      <c r="A107" s="8"/>
      <c r="B107" s="1"/>
      <c r="C107" s="2"/>
    </row>
    <row r="108" spans="1:3" ht="15.6">
      <c r="A108" s="8"/>
      <c r="B108" s="1"/>
      <c r="C108" s="2"/>
    </row>
    <row r="109" spans="1:3" ht="15.6">
      <c r="A109" s="8"/>
      <c r="B109" s="1"/>
      <c r="C109" s="2"/>
    </row>
    <row r="110" spans="1:3" ht="15.6">
      <c r="A110" s="8"/>
      <c r="B110" s="1"/>
      <c r="C110" s="2"/>
    </row>
    <row r="111" spans="1:3" ht="15.6">
      <c r="A111" s="8"/>
      <c r="B111" s="1"/>
      <c r="C111" s="2"/>
    </row>
    <row r="112" spans="1:3" ht="15.6">
      <c r="A112" s="8"/>
      <c r="B112" s="1"/>
      <c r="C112" s="2"/>
    </row>
    <row r="113" spans="1:3" ht="15.6">
      <c r="A113" s="8"/>
      <c r="B113" s="1"/>
      <c r="C113" s="2"/>
    </row>
    <row r="114" spans="1:3" ht="15.6">
      <c r="A114" s="8"/>
      <c r="B114" s="1"/>
      <c r="C114" s="2"/>
    </row>
    <row r="115" spans="1:3" ht="15.6">
      <c r="A115" s="8"/>
      <c r="B115" s="1"/>
      <c r="C115" s="2"/>
    </row>
    <row r="116" spans="1:3" ht="15.6">
      <c r="A116" s="8"/>
      <c r="B116" s="1"/>
      <c r="C116" s="2"/>
    </row>
    <row r="117" spans="1:3" ht="15.6">
      <c r="A117" s="8"/>
      <c r="B117" s="1"/>
      <c r="C117" s="2"/>
    </row>
    <row r="118" spans="1:3" ht="15.6">
      <c r="A118" s="8"/>
      <c r="B118" s="1"/>
      <c r="C118" s="2"/>
    </row>
    <row r="119" spans="1:3" ht="15.6">
      <c r="A119" s="8"/>
      <c r="B119" s="1"/>
      <c r="C119" s="2"/>
    </row>
    <row r="120" spans="1:3" ht="15.6">
      <c r="A120" s="8"/>
      <c r="B120" s="1"/>
      <c r="C120" s="2"/>
    </row>
    <row r="121" spans="1:3" ht="15.6">
      <c r="A121" s="8"/>
      <c r="B121" s="1"/>
      <c r="C121" s="2"/>
    </row>
    <row r="122" spans="1:3" ht="15.6">
      <c r="A122" s="8"/>
      <c r="B122" s="1"/>
      <c r="C122" s="2"/>
    </row>
    <row r="123" spans="1:3" ht="15.6">
      <c r="A123" s="8"/>
      <c r="B123" s="1"/>
      <c r="C123" s="2"/>
    </row>
    <row r="124" spans="1:3" ht="15.6">
      <c r="A124" s="8"/>
      <c r="B124" s="1"/>
      <c r="C124" s="2"/>
    </row>
    <row r="125" spans="1:3" ht="15.6">
      <c r="A125" s="8"/>
      <c r="B125" s="1"/>
      <c r="C125" s="2"/>
    </row>
    <row r="126" spans="1:3" ht="15.6">
      <c r="A126" s="8"/>
      <c r="B126" s="1"/>
      <c r="C126" s="2"/>
    </row>
    <row r="127" spans="1:3" ht="15.6">
      <c r="A127" s="8"/>
      <c r="B127" s="1"/>
      <c r="C127" s="2"/>
    </row>
    <row r="128" spans="1:3" ht="15.6">
      <c r="A128" s="8"/>
      <c r="B128" s="1"/>
      <c r="C128" s="2"/>
    </row>
    <row r="129" spans="1:3" ht="15.6">
      <c r="A129" s="8"/>
      <c r="B129" s="1"/>
      <c r="C129" s="2"/>
    </row>
    <row r="130" spans="1:3" ht="15.6">
      <c r="A130" s="8"/>
      <c r="B130" s="1"/>
      <c r="C130" s="2"/>
    </row>
    <row r="131" spans="1:3" ht="15.6">
      <c r="A131" s="8"/>
      <c r="B131" s="1"/>
      <c r="C131" s="2"/>
    </row>
    <row r="132" spans="1:3" ht="15.6">
      <c r="A132" s="8"/>
      <c r="B132" s="1"/>
      <c r="C132" s="2"/>
    </row>
    <row r="133" spans="1:3" ht="15.6">
      <c r="A133" s="8"/>
      <c r="B133" s="1"/>
      <c r="C133" s="2"/>
    </row>
    <row r="134" spans="1:3" ht="15.6">
      <c r="A134" s="8"/>
      <c r="B134" s="1"/>
      <c r="C134" s="2"/>
    </row>
    <row r="135" spans="1:3" ht="15.6">
      <c r="A135" s="8"/>
      <c r="B135" s="1"/>
      <c r="C135" s="2"/>
    </row>
    <row r="136" spans="1:3" ht="15.6">
      <c r="A136" s="8"/>
      <c r="B136" s="1"/>
      <c r="C136" s="2"/>
    </row>
    <row r="137" spans="1:3" ht="15.6">
      <c r="A137" s="8"/>
      <c r="B137" s="1"/>
      <c r="C137" s="2"/>
    </row>
    <row r="138" spans="1:3" ht="15.6">
      <c r="A138" s="8"/>
      <c r="B138" s="1"/>
      <c r="C138" s="2"/>
    </row>
    <row r="139" spans="1:3" ht="15.6">
      <c r="A139" s="8"/>
      <c r="B139" s="1"/>
      <c r="C139" s="2"/>
    </row>
    <row r="140" spans="1:3" ht="15.6">
      <c r="A140" s="8"/>
      <c r="B140" s="1"/>
      <c r="C140" s="2"/>
    </row>
    <row r="141" spans="1:3" ht="15.6">
      <c r="A141" s="8"/>
      <c r="B141" s="1"/>
      <c r="C141" s="2"/>
    </row>
    <row r="142" spans="1:3" ht="15.6">
      <c r="A142" s="8"/>
      <c r="B142" s="1"/>
      <c r="C142" s="2"/>
    </row>
    <row r="143" spans="1:3" ht="15.6">
      <c r="A143" s="8"/>
      <c r="B143" s="1"/>
      <c r="C143" s="2"/>
    </row>
    <row r="144" spans="1:3" ht="15.6">
      <c r="A144" s="8"/>
      <c r="B144" s="1"/>
      <c r="C144" s="2"/>
    </row>
    <row r="145" spans="1:3" ht="15.6">
      <c r="A145" s="8"/>
      <c r="B145" s="1"/>
      <c r="C145" s="2"/>
    </row>
    <row r="146" spans="1:3" ht="15.6">
      <c r="A146" s="8"/>
      <c r="B146" s="1"/>
      <c r="C146" s="2"/>
    </row>
    <row r="147" spans="1:3" ht="15.6">
      <c r="A147" s="8"/>
      <c r="B147" s="1"/>
      <c r="C147" s="2"/>
    </row>
    <row r="148" spans="1:3" ht="15.6">
      <c r="A148" s="8"/>
      <c r="B148" s="4"/>
      <c r="C148" s="2"/>
    </row>
    <row r="149" spans="1:3" ht="15.6">
      <c r="A149" s="8"/>
      <c r="B149" s="4"/>
      <c r="C149" s="2"/>
    </row>
    <row r="150" spans="1:3" ht="15.6">
      <c r="A150" s="8"/>
      <c r="B150" s="1"/>
      <c r="C150" s="2"/>
    </row>
    <row r="151" spans="1:3" ht="15.6">
      <c r="A151" s="8"/>
      <c r="B151" s="1"/>
      <c r="C151" s="2"/>
    </row>
    <row r="152" spans="1:3" ht="15.6">
      <c r="A152" s="1"/>
      <c r="B152" s="1"/>
      <c r="C152" s="2"/>
    </row>
    <row r="153" spans="1:3" ht="15.6">
      <c r="A153" s="1"/>
      <c r="B153" s="1"/>
      <c r="C153" s="2"/>
    </row>
    <row r="154" spans="1:3" ht="15.6">
      <c r="A154" s="1"/>
      <c r="B154" s="1"/>
      <c r="C154" s="2"/>
    </row>
    <row r="155" spans="1:3" ht="15.6">
      <c r="A155" s="9"/>
      <c r="B155" s="1"/>
      <c r="C155" s="2"/>
    </row>
    <row r="156" spans="1:3" ht="15.6">
      <c r="A156" s="8"/>
      <c r="B156" s="1"/>
      <c r="C156" s="2"/>
    </row>
    <row r="157" spans="1:3" ht="15.6">
      <c r="A157" s="8"/>
      <c r="B157" s="1"/>
      <c r="C157" s="2"/>
    </row>
    <row r="158" spans="1:3" ht="15.6">
      <c r="A158" s="8"/>
      <c r="B158" s="1"/>
      <c r="C158" s="2"/>
    </row>
    <row r="159" spans="1:3" ht="15.6">
      <c r="A159" s="8"/>
      <c r="B159" s="1"/>
      <c r="C159" s="2"/>
    </row>
    <row r="160" spans="1:3" ht="15.6">
      <c r="A160" s="8"/>
      <c r="B160" s="1"/>
      <c r="C160" s="2"/>
    </row>
    <row r="161" spans="1:3" ht="15.6">
      <c r="A161" s="8"/>
      <c r="B161" s="1"/>
      <c r="C161" s="2"/>
    </row>
    <row r="162" spans="1:3" ht="15.6">
      <c r="A162" s="8"/>
      <c r="B162" s="1"/>
      <c r="C162" s="2"/>
    </row>
    <row r="163" spans="1:3" ht="15.6">
      <c r="A163" s="8"/>
      <c r="B163" s="1"/>
      <c r="C163" s="2"/>
    </row>
    <row r="164" spans="1:3" ht="15.6">
      <c r="A164" s="8"/>
      <c r="B164" s="1"/>
      <c r="C164" s="2"/>
    </row>
    <row r="165" spans="1:3" ht="15.6">
      <c r="A165" s="8"/>
      <c r="B165" s="1"/>
      <c r="C165" s="2"/>
    </row>
    <row r="166" spans="1:3" ht="15.6">
      <c r="A166" s="8"/>
      <c r="B166" s="1"/>
      <c r="C166" s="2"/>
    </row>
    <row r="167" spans="1:3" ht="15.6">
      <c r="A167" s="8"/>
      <c r="B167" s="1"/>
      <c r="C167" s="2"/>
    </row>
    <row r="168" spans="1:3" ht="15.6">
      <c r="A168" s="8"/>
      <c r="B168" s="1"/>
      <c r="C168" s="2"/>
    </row>
    <row r="169" spans="1:3" ht="15.6">
      <c r="A169" s="8"/>
      <c r="B169" s="1"/>
      <c r="C169" s="2"/>
    </row>
    <row r="170" spans="1:3" ht="15.6">
      <c r="A170" s="8"/>
      <c r="B170" s="1"/>
      <c r="C170" s="2"/>
    </row>
    <row r="171" spans="1:3" ht="15.6">
      <c r="A171" s="8"/>
      <c r="B171" s="1"/>
      <c r="C171" s="2"/>
    </row>
    <row r="172" spans="1:3" ht="15.6">
      <c r="A172" s="8"/>
      <c r="B172" s="1"/>
      <c r="C172" s="2"/>
    </row>
    <row r="173" spans="1:3" ht="15.6">
      <c r="A173" s="8"/>
      <c r="B173" s="1"/>
      <c r="C173" s="2"/>
    </row>
    <row r="174" spans="1:3" ht="15.6">
      <c r="A174" s="8"/>
      <c r="B174" s="1"/>
      <c r="C174" s="2"/>
    </row>
    <row r="175" spans="1:3" ht="15.6">
      <c r="A175" s="8"/>
      <c r="B175" s="1"/>
      <c r="C175" s="2"/>
    </row>
    <row r="176" spans="1:3" ht="15.6">
      <c r="A176" s="8"/>
      <c r="B176" s="1"/>
      <c r="C176" s="2"/>
    </row>
    <row r="177" spans="1:3" ht="15.6">
      <c r="A177" s="8"/>
      <c r="B177" s="1"/>
      <c r="C177" s="2"/>
    </row>
    <row r="178" spans="1:3" ht="15.6">
      <c r="A178" s="8"/>
      <c r="B178" s="1"/>
      <c r="C178" s="2"/>
    </row>
    <row r="179" spans="1:3" ht="15.6">
      <c r="A179" s="8"/>
      <c r="B179" s="1"/>
      <c r="C179" s="2"/>
    </row>
    <row r="180" spans="1:3" ht="15.6">
      <c r="A180" s="8"/>
      <c r="B180" s="1"/>
      <c r="C180" s="2"/>
    </row>
    <row r="181" spans="1:3" ht="15.6">
      <c r="A181" s="8"/>
      <c r="B181" s="1"/>
      <c r="C181" s="2"/>
    </row>
    <row r="182" spans="1:3" ht="15.6">
      <c r="A182" s="8"/>
      <c r="B182" s="1"/>
      <c r="C182" s="2"/>
    </row>
    <row r="183" spans="1:3" ht="15.6">
      <c r="A183" s="8"/>
      <c r="B183" s="1"/>
      <c r="C183" s="2"/>
    </row>
    <row r="184" spans="1:3" ht="15.6">
      <c r="A184" s="8"/>
      <c r="B184" s="1"/>
      <c r="C184" s="2"/>
    </row>
    <row r="185" spans="1:3" ht="15.6">
      <c r="A185" s="8"/>
      <c r="B185" s="1"/>
      <c r="C185" s="2"/>
    </row>
    <row r="186" spans="1:3" ht="15.6">
      <c r="A186" s="8"/>
      <c r="B186" s="1"/>
      <c r="C186" s="2"/>
    </row>
    <row r="187" spans="1:3" ht="15.6">
      <c r="A187" s="8"/>
      <c r="B187" s="1"/>
      <c r="C187" s="2"/>
    </row>
    <row r="188" spans="1:3" ht="15.6">
      <c r="A188" s="8"/>
      <c r="B188" s="1"/>
      <c r="C188" s="2"/>
    </row>
    <row r="189" spans="1:3" ht="15.6">
      <c r="A189" s="8"/>
      <c r="B189" s="5"/>
      <c r="C189" s="2"/>
    </row>
    <row r="190" spans="1:3" ht="15.6">
      <c r="A190" s="8"/>
      <c r="B190" s="5"/>
      <c r="C190" s="2"/>
    </row>
    <row r="191" spans="1:3" ht="15.6">
      <c r="A191" s="8"/>
      <c r="B191" s="1"/>
      <c r="C191" s="2"/>
    </row>
    <row r="192" spans="1:3" ht="15.6">
      <c r="A192" s="8"/>
      <c r="B192" s="1"/>
      <c r="C192" s="2"/>
    </row>
    <row r="193" spans="1:3" ht="15.6">
      <c r="A193" s="8"/>
      <c r="B193" s="1"/>
      <c r="C193" s="2"/>
    </row>
    <row r="194" spans="1:3" ht="15.6">
      <c r="A194" s="8"/>
      <c r="B194" s="1"/>
      <c r="C194" s="2"/>
    </row>
    <row r="195" spans="1:3" ht="15.6">
      <c r="A195" s="8"/>
      <c r="B195" s="1"/>
      <c r="C195" s="2"/>
    </row>
    <row r="196" spans="1:3" ht="15.6">
      <c r="A196" s="8"/>
      <c r="B196" s="1"/>
      <c r="C196" s="2"/>
    </row>
    <row r="197" spans="1:3" ht="15.6">
      <c r="A197" s="8"/>
      <c r="B197" s="1"/>
      <c r="C197" s="2"/>
    </row>
    <row r="198" spans="1:3" ht="15.6">
      <c r="A198" s="8"/>
      <c r="B198" s="1"/>
      <c r="C198" s="2"/>
    </row>
    <row r="199" spans="1:3" ht="15.6">
      <c r="A199" s="8"/>
      <c r="B199" s="1"/>
      <c r="C199" s="2"/>
    </row>
    <row r="200" spans="1:3" ht="15.6">
      <c r="A200" s="8"/>
      <c r="B200" s="1"/>
      <c r="C200" s="2"/>
    </row>
    <row r="201" spans="1:3" ht="15.6">
      <c r="A201" s="8"/>
      <c r="B201" s="1"/>
      <c r="C201" s="2"/>
    </row>
    <row r="202" spans="1:3" ht="15.6">
      <c r="A202" s="8"/>
      <c r="B202" s="1"/>
      <c r="C202" s="2"/>
    </row>
    <row r="203" spans="1:3" ht="15.6">
      <c r="A203" s="8"/>
      <c r="B203" s="1"/>
      <c r="C203" s="2"/>
    </row>
    <row r="204" spans="1:3" ht="15.6">
      <c r="A204" s="8"/>
      <c r="B204" s="1"/>
      <c r="C204" s="2"/>
    </row>
    <row r="205" spans="1:3" ht="15.6">
      <c r="A205" s="8"/>
      <c r="B205" s="1"/>
      <c r="C205" s="2"/>
    </row>
    <row r="206" spans="1:3" ht="15.6">
      <c r="A206" s="8"/>
      <c r="B206" s="1"/>
      <c r="C206" s="2"/>
    </row>
    <row r="207" spans="1:3" ht="15.6">
      <c r="A207" s="8"/>
      <c r="B207" s="4"/>
      <c r="C207" s="2"/>
    </row>
    <row r="208" spans="1:3" ht="15.6">
      <c r="A208" s="8"/>
      <c r="B208" s="6"/>
      <c r="C208" s="2"/>
    </row>
    <row r="209" spans="1:3" ht="15.6">
      <c r="A209" s="11"/>
      <c r="B209" s="7"/>
      <c r="C209" s="7"/>
    </row>
  </sheetData>
  <mergeCells count="5">
    <mergeCell ref="C16:D16"/>
    <mergeCell ref="C8:D8"/>
    <mergeCell ref="C10:D10"/>
    <mergeCell ref="C14:D14"/>
    <mergeCell ref="C12:D12"/>
  </mergeCells>
  <conditionalFormatting sqref="B74:B80 B82 B84 B86 B170:B173 B167:B168 B163:B165 B161 B159 B139 B136:B137 B132 B130 B105:B106 B103 B101 B95 B93 B108:B109 B175:B184 B141:B143 B152 B128 B134 B88 B90 B205 B154:B157 B70 B112:B117 B97:B99 B119:B123">
    <cfRule type="expression" dxfId="65" priority="28">
      <formula>AND(B71&lt;&gt;"",#REF!&lt;&gt;"SI")</formula>
    </cfRule>
    <cfRule type="expression" dxfId="64" priority="29">
      <formula>AND(B71&lt;&gt;"",OR(#REF!&lt;&gt;"SI",#REF!&lt;&gt;"SI"))</formula>
    </cfRule>
    <cfRule type="expression" dxfId="63" priority="30">
      <formula>AND(B71&lt;&gt;"",#REF!="SI")</formula>
    </cfRule>
    <cfRule type="expression" dxfId="62" priority="31">
      <formula>AND(B71="",#REF!="SI",#REF!="SI")</formula>
    </cfRule>
  </conditionalFormatting>
  <conditionalFormatting sqref="C68:C208">
    <cfRule type="expression" dxfId="61" priority="32">
      <formula>#REF!="SI"</formula>
    </cfRule>
  </conditionalFormatting>
  <conditionalFormatting sqref="B110:B111 B197 B206:B207 B69">
    <cfRule type="expression" dxfId="60" priority="33">
      <formula>AND(B71&lt;&gt;"",#REF!&lt;&gt;"SI")</formula>
    </cfRule>
    <cfRule type="expression" dxfId="59" priority="34">
      <formula>AND(B71&lt;&gt;"",OR(#REF!&lt;&gt;"SI",#REF!&lt;&gt;"SI"))</formula>
    </cfRule>
    <cfRule type="expression" dxfId="58" priority="35">
      <formula>AND(B71&lt;&gt;"",#REF!="SI")</formula>
    </cfRule>
    <cfRule type="expression" dxfId="57" priority="36">
      <formula>AND(B71="",#REF!="SI",#REF!="SI")</formula>
    </cfRule>
  </conditionalFormatting>
  <conditionalFormatting sqref="B71:B72 B193:B194 B196 B203:B204">
    <cfRule type="expression" dxfId="56" priority="37">
      <formula>AND(B74&lt;&gt;"",#REF!&lt;&gt;"SI")</formula>
    </cfRule>
    <cfRule type="expression" dxfId="55" priority="38">
      <formula>AND(B74&lt;&gt;"",OR(#REF!&lt;&gt;"SI",#REF!&lt;&gt;"SI"))</formula>
    </cfRule>
    <cfRule type="expression" dxfId="54" priority="39">
      <formula>AND(B74&lt;&gt;"",#REF!="SI")</formula>
    </cfRule>
    <cfRule type="expression" dxfId="53" priority="40">
      <formula>AND(B74="",#REF!="SI",#REF!="SI")</formula>
    </cfRule>
  </conditionalFormatting>
  <conditionalFormatting sqref="B185">
    <cfRule type="expression" dxfId="52" priority="41">
      <formula>AND(B187&lt;&gt;"",#REF!&lt;&gt;"SI")</formula>
    </cfRule>
    <cfRule type="expression" dxfId="51" priority="42">
      <formula>AND(B187&lt;&gt;"",OR(#REF!&lt;&gt;"SI",#REF!&lt;&gt;"SI"))</formula>
    </cfRule>
    <cfRule type="expression" dxfId="50" priority="43">
      <formula>AND(B187&lt;&gt;"",#REF!="SI")</formula>
    </cfRule>
    <cfRule type="expression" dxfId="49" priority="44">
      <formula>AND(B187="",#REF!="SI",#REF!="SI")</formula>
    </cfRule>
  </conditionalFormatting>
  <conditionalFormatting sqref="B186">
    <cfRule type="expression" dxfId="48" priority="45">
      <formula>AND(B196&lt;&gt;"",#REF!&lt;&gt;"SI")</formula>
    </cfRule>
    <cfRule type="expression" dxfId="47" priority="46">
      <formula>AND(B196&lt;&gt;"",OR(#REF!&lt;&gt;"SI",#REF!&lt;&gt;"SI"))</formula>
    </cfRule>
    <cfRule type="expression" dxfId="46" priority="47">
      <formula>AND(B196&lt;&gt;"",#REF!="SI")</formula>
    </cfRule>
    <cfRule type="expression" dxfId="45" priority="48">
      <formula>AND(B196="",#REF!="SI",#REF!="SI")</formula>
    </cfRule>
  </conditionalFormatting>
  <conditionalFormatting sqref="B187">
    <cfRule type="expression" dxfId="44" priority="49">
      <formula>AND(B196&lt;&gt;"",#REF!&lt;&gt;"SI")</formula>
    </cfRule>
    <cfRule type="expression" dxfId="43" priority="50">
      <formula>AND(B196&lt;&gt;"",OR(#REF!&lt;&gt;"SI",#REF!&lt;&gt;"SI"))</formula>
    </cfRule>
    <cfRule type="expression" dxfId="42" priority="51">
      <formula>AND(B196&lt;&gt;"",#REF!="SI")</formula>
    </cfRule>
    <cfRule type="expression" dxfId="41" priority="52">
      <formula>AND(B196="",#REF!="SI",#REF!="SI")</formula>
    </cfRule>
  </conditionalFormatting>
  <conditionalFormatting sqref="B124">
    <cfRule type="expression" dxfId="40" priority="53">
      <formula>AND(B129&lt;&gt;"",#REF!&lt;&gt;"SI")</formula>
    </cfRule>
    <cfRule type="expression" dxfId="39" priority="54">
      <formula>AND(B129&lt;&gt;"",OR(#REF!&lt;&gt;"SI",#REF!&lt;&gt;"SI"))</formula>
    </cfRule>
    <cfRule type="expression" dxfId="38" priority="55">
      <formula>AND(B129&lt;&gt;"",#REF!="SI")</formula>
    </cfRule>
    <cfRule type="expression" dxfId="37" priority="56">
      <formula>AND(B129="",#REF!="SI",#REF!="SI")</formula>
    </cfRule>
  </conditionalFormatting>
  <conditionalFormatting sqref="B208">
    <cfRule type="expression" dxfId="36" priority="57">
      <formula>#REF!="SI"</formula>
    </cfRule>
  </conditionalFormatting>
  <conditionalFormatting sqref="B135">
    <cfRule type="expression" dxfId="35" priority="58">
      <formula>AND(#REF!&lt;&gt;"",#REF!&lt;&gt;"SI")</formula>
    </cfRule>
    <cfRule type="expression" dxfId="34" priority="59">
      <formula>AND(#REF!&lt;&gt;"",OR(#REF!&lt;&gt;"SI",#REF!&lt;&gt;"SI"))</formula>
    </cfRule>
    <cfRule type="expression" dxfId="33" priority="60">
      <formula>AND(#REF!&lt;&gt;"",#REF!="SI")</formula>
    </cfRule>
    <cfRule type="expression" dxfId="32" priority="61">
      <formula>AND(#REF!="",#REF!="SI",#REF!="SI")</formula>
    </cfRule>
  </conditionalFormatting>
  <conditionalFormatting sqref="B89">
    <cfRule type="expression" dxfId="31" priority="62">
      <formula>AND(#REF!&lt;&gt;"",#REF!&lt;&gt;"SI")</formula>
    </cfRule>
    <cfRule type="expression" dxfId="30" priority="63">
      <formula>AND(#REF!&lt;&gt;"",OR(#REF!&lt;&gt;"SI",#REF!&lt;&gt;"SI"))</formula>
    </cfRule>
    <cfRule type="expression" dxfId="29" priority="64">
      <formula>AND(#REF!&lt;&gt;"",#REF!="SI")</formula>
    </cfRule>
    <cfRule type="expression" dxfId="28" priority="65">
      <formula>AND(#REF!="",#REF!="SI",#REF!="SI")</formula>
    </cfRule>
  </conditionalFormatting>
  <conditionalFormatting sqref="B68">
    <cfRule type="expression" dxfId="27" priority="66">
      <formula>AND(#REF!&lt;&gt;"",#REF!&lt;&gt;"SI")</formula>
    </cfRule>
    <cfRule type="expression" dxfId="26" priority="67">
      <formula>AND(#REF!&lt;&gt;"",OR(#REF!&lt;&gt;"SI",#REF!&lt;&gt;"SI"))</formula>
    </cfRule>
    <cfRule type="expression" dxfId="25" priority="68">
      <formula>AND(#REF!&lt;&gt;"",#REF!="SI")</formula>
    </cfRule>
    <cfRule type="expression" dxfId="24" priority="69">
      <formula>AND(#REF!="",#REF!="SI",#REF!="SI")</formula>
    </cfRule>
  </conditionalFormatting>
  <conditionalFormatting sqref="B100">
    <cfRule type="expression" dxfId="23" priority="70">
      <formula>AND(#REF!&lt;&gt;"",#REF!&lt;&gt;"SI")</formula>
    </cfRule>
    <cfRule type="expression" dxfId="22" priority="71">
      <formula>AND(#REF!&lt;&gt;"",OR(#REF!&lt;&gt;"SI",#REF!&lt;&gt;"SI"))</formula>
    </cfRule>
    <cfRule type="expression" dxfId="21" priority="72">
      <formula>AND(#REF!&lt;&gt;"",#REF!="SI")</formula>
    </cfRule>
    <cfRule type="expression" dxfId="20" priority="73">
      <formula>AND(#REF!="",#REF!="SI",#REF!="SI")</formula>
    </cfRule>
  </conditionalFormatting>
  <conditionalFormatting sqref="B191">
    <cfRule type="expression" dxfId="19" priority="74">
      <formula>AND(#REF!&lt;&gt;"",#REF!&lt;&gt;"SI")</formula>
    </cfRule>
    <cfRule type="expression" dxfId="18" priority="75">
      <formula>AND(#REF!&lt;&gt;"",OR(#REF!&lt;&gt;"SI",#REF!&lt;&gt;"SI"))</formula>
    </cfRule>
    <cfRule type="expression" dxfId="17" priority="76">
      <formula>AND(#REF!&lt;&gt;"",#REF!="SI")</formula>
    </cfRule>
    <cfRule type="expression" dxfId="16" priority="77">
      <formula>AND(#REF!="",#REF!="SI",#REF!="SI")</formula>
    </cfRule>
  </conditionalFormatting>
  <conditionalFormatting sqref="B144:B146 B126">
    <cfRule type="expression" dxfId="15" priority="78">
      <formula>AND(B134&lt;&gt;"",#REF!&lt;&gt;"SI")</formula>
    </cfRule>
    <cfRule type="expression" dxfId="14" priority="79">
      <formula>AND(B134&lt;&gt;"",OR(#REF!&lt;&gt;"SI",#REF!&lt;&gt;"SI"))</formula>
    </cfRule>
    <cfRule type="expression" dxfId="13" priority="80">
      <formula>AND(B134&lt;&gt;"",#REF!="SI")</formula>
    </cfRule>
    <cfRule type="expression" dxfId="12" priority="81">
      <formula>AND(B134="",#REF!="SI",#REF!="SI")</formula>
    </cfRule>
  </conditionalFormatting>
  <conditionalFormatting sqref="B198">
    <cfRule type="expression" dxfId="11" priority="82">
      <formula>AND(#REF!&lt;&gt;"",#REF!&lt;&gt;"SI")</formula>
    </cfRule>
    <cfRule type="expression" dxfId="10" priority="83">
      <formula>AND(#REF!&lt;&gt;"",OR(#REF!&lt;&gt;"SI",#REF!&lt;&gt;"SI"))</formula>
    </cfRule>
    <cfRule type="expression" dxfId="9" priority="84">
      <formula>AND(#REF!&lt;&gt;"",#REF!="SI")</formula>
    </cfRule>
    <cfRule type="expression" dxfId="8" priority="85">
      <formula>AND(#REF!="",#REF!="SI",#REF!="SI")</formula>
    </cfRule>
  </conditionalFormatting>
  <conditionalFormatting sqref="B200">
    <cfRule type="expression" dxfId="7" priority="86">
      <formula>AND(B203&lt;&gt;"",#REF!&lt;&gt;"SI")</formula>
    </cfRule>
    <cfRule type="expression" dxfId="6" priority="87">
      <formula>AND(B203&lt;&gt;"",OR(#REF!&lt;&gt;"SI",#REF!&lt;&gt;"SI"))</formula>
    </cfRule>
    <cfRule type="expression" dxfId="5" priority="88">
      <formula>AND(B203&lt;&gt;"",#REF!="SI")</formula>
    </cfRule>
    <cfRule type="expression" dxfId="4" priority="89">
      <formula>AND(B203="",#REF!="SI",#REF!="SI")</formula>
    </cfRule>
  </conditionalFormatting>
  <conditionalFormatting sqref="B201:B202 B199">
    <cfRule type="expression" dxfId="3" priority="90">
      <formula>AND(B203&lt;&gt;"",#REF!&lt;&gt;"SI")</formula>
    </cfRule>
    <cfRule type="expression" dxfId="2" priority="91">
      <formula>AND(B203&lt;&gt;"",OR(#REF!&lt;&gt;"SI",#REF!&lt;&gt;"SI"))</formula>
    </cfRule>
    <cfRule type="expression" dxfId="1" priority="92">
      <formula>AND(B203&lt;&gt;"",#REF!="SI")</formula>
    </cfRule>
    <cfRule type="expression" dxfId="0" priority="93">
      <formula>AND(B203="",#REF!="SI",#REF!="SI")</formula>
    </cfRule>
  </conditionalFormatting>
  <pageMargins left="0.7" right="0.7" top="0.75" bottom="0.75" header="0.3" footer="0.3"/>
  <pageSetup orientation="portrait" horizontalDpi="300" verticalDpi="300" r:id="rId1"/>
  <ignoredErrors>
    <ignoredError sqref="C35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ain">
                <anchor moveWithCells="1" sizeWithCells="1">
                  <from>
                    <xdr:col>4</xdr:col>
                    <xdr:colOff>586740</xdr:colOff>
                    <xdr:row>2</xdr:row>
                    <xdr:rowOff>38100</xdr:rowOff>
                  </from>
                  <to>
                    <xdr:col>6</xdr:col>
                    <xdr:colOff>403860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88DC3-DEB5-42E2-B02E-DB0F3ED8AA06}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6F8E-BDCD-4607-A00B-9F3D1B40C754}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380C7-9EC9-4BF2-A902-B59AB73E09BA}">
  <sheetPr codeName="Sheet4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5F25A-A38B-46EE-B308-F9F41CF03ABC}">
  <sheetPr codeName="Sheet5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95E45-D814-4E22-BA08-EC9CBBEB0097}">
  <sheetPr codeName="Sheet6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CB98-8E1B-4439-A6D0-D7E9D7E0053A}">
  <sheetPr codeName="Sheet7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561B7-C287-44EF-B929-B3D2E9A5C6D0}">
  <sheetPr codeName="Sheet8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6C793-5427-4AA9-826A-1D5E24F8028E}">
  <sheetPr codeName="Sheet9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DF9F4-93C6-469C-A0F0-15CDC4D05EE2}">
  <sheetPr codeName="Sheet10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7A8A7-12EC-4C95-8D5D-2B862F8E27DD}">
  <sheetPr codeName="Sheet11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B4307-DEB2-4693-BF0E-ECEB501CC744}">
  <sheetPr codeName="Sheet1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7C6F8-DE8C-4CDA-8DED-893491CEDA8B}">
  <sheetPr codeName="Sheet13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31F3C-AD39-490C-8E8D-CF46820BC7A7}">
  <sheetPr codeName="Sheet14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55EE5-296F-400E-975E-A6B55C1856B8}">
  <sheetPr codeName="Sheet15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390C9-F74E-40F0-81C5-7B277F8CD031}">
  <sheetPr codeName="Sheet16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64FAC-1A5C-4B5E-97DB-FB2A9EA49DBD}">
  <sheetPr codeName="Sheet17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  <vt:lpstr>Sheet17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usman</dc:creator>
  <cp:lastModifiedBy>usman</cp:lastModifiedBy>
  <dcterms:created xsi:type="dcterms:W3CDTF">2019-07-15T11:16:15Z</dcterms:created>
  <dcterms:modified xsi:type="dcterms:W3CDTF">2019-07-17T04:44:11Z</dcterms:modified>
</cp:coreProperties>
</file>